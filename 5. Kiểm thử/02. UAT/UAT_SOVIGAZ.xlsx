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<sst xmlns="http://schemas.openxmlformats.org/spreadsheetml/2006/main" count="116" uniqueCount="54">
  <si>
    <t>Report Name</t>
  </si>
  <si>
    <t>Visual / Card Name</t>
  </si>
  <si>
    <t>Visual Type</t>
  </si>
  <si>
    <t>KPI / Field Name</t>
  </si>
  <si>
    <t>DWH Source Table</t>
  </si>
  <si>
    <t>Source System</t>
  </si>
  <si>
    <t>SQL Test Script Name</t>
  </si>
  <si>
    <t>Expected Result</t>
  </si>
  <si>
    <t>Actual Result</t>
  </si>
  <si>
    <t>Variance</t>
  </si>
  <si>
    <t>Owner</t>
  </si>
  <si>
    <t xml:space="preserve"> </t>
  </si>
  <si>
    <t>Filter Context</t>
  </si>
  <si>
    <t>Doanh thu</t>
  </si>
  <si>
    <t>Tổng doanh thu</t>
  </si>
  <si>
    <t>Card</t>
  </si>
  <si>
    <t>Measure[Doanh thu]</t>
  </si>
  <si>
    <t>DM_RevenueBySaleLedger_new</t>
  </si>
  <si>
    <t>Sổ chi tiết bán hàng</t>
  </si>
  <si>
    <t>select sum(ReceiptAmount) - sum(VATAmount) as DT
from SOVIGAZ_2026_Dev.Datamart.DM_RevenueBySaleLedger_new
where year(PostedDate ) = 2026 and month(PostedDate ) = 5</t>
  </si>
  <si>
    <t>Phúc</t>
  </si>
  <si>
    <t>Pass</t>
  </si>
  <si>
    <t>Thời gian: tháng 5/2026</t>
  </si>
  <si>
    <t>Doanh thu bán ngoài</t>
  </si>
  <si>
    <t>select sum(ReceiptAmount) - sum(VATAmount) as DT
from SOVIGAZ_2026_Dev.Datamart.DM_RevenueBySaleLedger_new a
left join SOVIGAZ_2026_Dev.Datamart.Dim_Customer_New b
	on a.AccountObjectCode =b.AccountObjectCode 
where cast(a.posteddate as date) between '2026-05-01' and '2026-05-31' and b.Excel_Customer_Category not in ('KHNB','NB')</t>
  </si>
  <si>
    <t>Doanh thu LCNB</t>
  </si>
  <si>
    <t>select sum(ReceiptAmount) - sum(VATAmount) as DT
from SOVIGAZ_2026_Dev.Datamart.DM_RevenueBySaleLedger_new a
left join SOVIGAZ_2026_Dev.Datamart.Dim_Customer_New b
	on a.AccountObjectCode =b.AccountObjectCode 
where cast(a.posteddate as date) between '2026-05-01' and '2026-05-31' and b.Excel_Customer_Category in ('KHNB','NB')</t>
  </si>
  <si>
    <t>Số đơn hàng</t>
  </si>
  <si>
    <t>DM_RevenueBySaleLedge[INVNo]</t>
  </si>
  <si>
    <t>select count(InvNo )
from SOVIGAZ_2026_Dev.Datamart.DM_RevenueBySaleLedger_new
where year(PostedDate ) = 2026 and month(PostedDate ) = 5</t>
  </si>
  <si>
    <t>Doanh thu từng tháng của nhóm khách hàng</t>
  </si>
  <si>
    <t>Chart</t>
  </si>
  <si>
    <t>select b.Excel_Customer_Category, sum(ReceiptAmount) - sum(VATAmount) as DT
from SOVIGAZ_2026_Dev.Datamart.DM_RevenueBySaleLedger_new a
left join SOVIGAZ_2026_Dev.Datamart.Dim_Customer_New b
	on a.AccountObjectCode =b.AccountObjectCode 
where cast(a.posteddate as date) between '2026-05-01' and '2026-05-31' and b.Excel_Customer_Category not in ('KHNB','NB')
group by b.Excel_Customer_Category</t>
  </si>
  <si>
    <t>Giống nhau</t>
  </si>
  <si>
    <t>Doanh thu theo tháng của từng xí nghiệp</t>
  </si>
  <si>
    <t>select c.StockName , sum(ReceiptAmount) - sum(VATAmount) as DT
from SOVIGAZ_2026_Dev.Datamart.DM_RevenueBySaleLedger_new a
left join SOVIGAZ_2026_Dev.Datamart.Dim_Customer_New b
	on a.AccountObjectCode =b.AccountObjectCode
left join SOVIGAZ_2024_LuuTaiDonVi_DWH.dbo.Dim_Stock c
	on b.StockCode = c.StockCode 
where cast(a.posteddate as date) between '2026-05-01' and '2026-05-31' --and b.Excel_Customer_Category not in ('KHNB','NB')
group by c.StockName</t>
  </si>
  <si>
    <t>Doanh thu theo từng sản phẩm</t>
  </si>
  <si>
    <t xml:space="preserve">
select d.CategoryName  , sum(ReceiptAmount) - sum(VATAmount) as DT
from SOVIGAZ_2026_Dev.Datamart.DM_RevenueBySaleLedger_new a
left join SOVIGAZ_2026_Dev.Datamart.Dim_Customer_New b
	on a.AccountObjectCode =b.AccountObjectCode
left join SOVIGAZ_2026_Dev.Datamart.Dim_Products_new c
	on a.InventoryItemCode_New = c.InventoryItemCode_New
left join SOVIGAZ_2024_LuuTaiDonVi_DWH.dbo.Dim_ProductCategories d
	on c.Excel_Category_Name = d.CategoryName 
where cast(a.posteddate as date) between '2026-05-01' and '2026-05-31' and b.Excel_Customer_Category not in ('KHNB','NB')
group by d.CategoryName</t>
  </si>
  <si>
    <t>Công nợ</t>
  </si>
  <si>
    <t>Số nợ đầu kỳ</t>
  </si>
  <si>
    <t>DM_AccountObjectDebt[opening_balance]</t>
  </si>
  <si>
    <t>DM_AccountObjectDebt_new</t>
  </si>
  <si>
    <t>Tổng hợp công nợ phải thu (chi tiết theo các khoản giảm trừ)</t>
  </si>
  <si>
    <t>select sum(a.OpeningBalance )
from  SOVIGAZ_2026_Dev.Datamart.DM_AccountObjectDebt_new a
left join SOVIGAZ_2026_Dev.Datamart.Dim_Customer_New b
	on a.AccountObjectCode =b.AccountObjectCode 
where  b.Excel_Customer_Category not in ('KHNB','NB')</t>
  </si>
  <si>
    <t>No filter</t>
  </si>
  <si>
    <t>Số nợ phát sinh</t>
  </si>
  <si>
    <t>DM_AccountObjectDebt[period_amount]</t>
  </si>
  <si>
    <t>select sum(a.PeriodAmount  )
from  SOVIGAZ_2026_Dev.Datamart.DM_AccountObjectDebt_new a
left join SOVIGAZ_2026_Dev.Datamart.Dim_Customer_New b
	on a.AccountObjectCode =b.AccountObjectCode 
where  b.Excel_Customer_Category not in ('KHNB','NB')</t>
  </si>
  <si>
    <t>Số nợ đã được thanh toán</t>
  </si>
  <si>
    <t>DM_AccountObjectDebt[paid_amount]</t>
  </si>
  <si>
    <t>select sum(a.PaidAmount   )
from  SOVIGAZ_2026_Dev.Datamart.DM_AccountObjectDebt_new a
left join SOVIGAZ_2026_Dev.Datamart.Dim_Customer_New b
	on a.AccountObjectCode =b.AccountObjectCode 
where  b.Excel_Customer_Category not in ('KHNB','NB')</t>
  </si>
  <si>
    <t>Số nợ còn lại</t>
  </si>
  <si>
    <t>DM_AccountObjectDebt[ReceiptableDebtAmount]</t>
  </si>
  <si>
    <t>select sum(a.ReceiptableDebtAmount    )
from  SOVIGAZ_2026_Dev.Datamart.DM_AccountObjectDebt_new a
left join SOVIGAZ_2026_Dev.Datamart.Dim_Customer_New b
	on a.AccountObjectCode =b.AccountObjectCode 
where  b.Excel_Customer_Category not in ('KHNB','NB')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</si>
</sst>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3.0"/>
      <color theme="1"/>
      <name val="Arial"/>
    </font>
    <font>
      <color theme="1"/>
      <name val="Arial"/>
      <scheme val="minor"/>
    </font>
    <font>
      <sz val="11.0"/>
      <color rgb="FF081B3A"/>
      <name val="SegoeuiPc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1" numFmtId="0" xfId="0" applyAlignment="1" applyFill="1" applyFont="1">
      <alignment horizontal="center"/>
    </xf>
    <xf borderId="0" fillId="2" fontId="1" numFmtId="0" xfId="0" applyAlignment="1" applyFill="1" applyFont="1">
      <alignment horizontal="center" shrinkToFit="0" wrapText="1"/>
    </xf>
    <xf borderId="0" fillId="2" fontId="1" numFmtId="0" xfId="0" applyAlignment="1" applyFill="1" applyFont="1">
      <alignment horizontal="center" shrinkToFit="0" wrapText="0"/>
    </xf>
    <xf borderId="0" fillId="2" fontId="1" numFmtId="2" xfId="0" applyAlignment="1" applyFill="1" applyFont="1" applyNumberFormat="1">
      <alignment horizont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34.13"/>
    <col customWidth="1" min="3" max="3" width="24.5"/>
    <col customWidth="1" min="4" max="4" width="39.13"/>
    <col customWidth="1" min="5" max="5" width="26.63"/>
    <col customWidth="1" min="6" max="6" width="21.38"/>
    <col customWidth="1" min="7" max="7" width="30.13"/>
    <col customWidth="1" min="8" max="8" width="20.25"/>
    <col customWidth="1" min="9" max="9" width="14.88"/>
    <col customWidth="1" min="10" max="10" width="14.5"/>
    <col customWidth="1" min="11" max="11" width="8.75"/>
    <col customWidth="1" min="12" max="12" width="9.25"/>
    <col customWidth="1" min="13" max="13" width="17.6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>
      <c r="A2" s="6" t="s">
        <v>13</v>
      </c>
      <c r="B2" s="7" t="s">
        <v>14</v>
      </c>
      <c r="C2" s="7" t="s">
        <v>15</v>
      </c>
      <c r="D2" s="7" t="s">
        <v>16</v>
      </c>
      <c r="E2" s="7" t="s">
        <v>17</v>
      </c>
      <c r="F2" s="7" t="s">
        <v>18</v>
      </c>
      <c r="G2" s="8" t="s">
        <v>19</v>
      </c>
      <c r="H2" s="8">
        <v>2.5359756779E10</v>
      </c>
      <c r="I2" s="8">
        <v>2.5359756779E10</v>
      </c>
      <c r="J2" s="9">
        <f t="shared" ref="J2:J5" si="1">H2-I2</f>
        <v>0</v>
      </c>
      <c r="K2" s="7" t="s">
        <v>20</v>
      </c>
      <c r="L2" s="7" t="s">
        <v>21</v>
      </c>
      <c r="M2" s="7" t="s">
        <v>22</v>
      </c>
    </row>
    <row r="3">
      <c r="B3" s="7" t="s">
        <v>23</v>
      </c>
      <c r="C3" s="7" t="s">
        <v>15</v>
      </c>
      <c r="D3" s="7" t="s">
        <v>16</v>
      </c>
      <c r="E3" s="7" t="s">
        <v>17</v>
      </c>
      <c r="F3" s="7" t="s">
        <v>18</v>
      </c>
      <c r="G3" s="8" t="s">
        <v>24</v>
      </c>
      <c r="H3" s="8">
        <v>1.7569307924E10</v>
      </c>
      <c r="I3" s="8">
        <v>1.7569307924E10</v>
      </c>
      <c r="J3" s="9">
        <f t="shared" si="1"/>
        <v>0</v>
      </c>
      <c r="K3" s="7" t="s">
        <v>20</v>
      </c>
      <c r="L3" s="7" t="s">
        <v>21</v>
      </c>
      <c r="M3" s="7" t="s">
        <v>22</v>
      </c>
    </row>
    <row r="4">
      <c r="B4" s="7" t="s">
        <v>25</v>
      </c>
      <c r="C4" s="7" t="s">
        <v>15</v>
      </c>
      <c r="D4" s="7" t="s">
        <v>16</v>
      </c>
      <c r="E4" s="7" t="s">
        <v>17</v>
      </c>
      <c r="F4" s="7" t="s">
        <v>18</v>
      </c>
      <c r="G4" s="8" t="s">
        <v>26</v>
      </c>
      <c r="H4" s="8">
        <v>7.760068455E9</v>
      </c>
      <c r="I4" s="8">
        <v>7.760068455E9</v>
      </c>
      <c r="J4" s="9">
        <f t="shared" si="1"/>
        <v>0</v>
      </c>
      <c r="K4" s="7" t="s">
        <v>20</v>
      </c>
      <c r="L4" s="7" t="s">
        <v>21</v>
      </c>
      <c r="M4" s="7" t="s">
        <v>22</v>
      </c>
    </row>
    <row r="5">
      <c r="B5" s="7" t="s">
        <v>27</v>
      </c>
      <c r="C5" s="7" t="s">
        <v>15</v>
      </c>
      <c r="D5" s="7" t="s">
        <v>28</v>
      </c>
      <c r="E5" s="7" t="s">
        <v>17</v>
      </c>
      <c r="F5" s="7" t="s">
        <v>18</v>
      </c>
      <c r="G5" s="8" t="s">
        <v>29</v>
      </c>
      <c r="H5" s="8">
        <v>5996.0</v>
      </c>
      <c r="I5" s="8">
        <v>5996.0</v>
      </c>
      <c r="J5" s="9">
        <f t="shared" si="1"/>
        <v>0</v>
      </c>
      <c r="K5" s="7" t="s">
        <v>20</v>
      </c>
      <c r="L5" s="7" t="s">
        <v>21</v>
      </c>
      <c r="M5" s="7" t="s">
        <v>22</v>
      </c>
    </row>
    <row r="6">
      <c r="B6" s="7" t="s">
        <v>30</v>
      </c>
      <c r="C6" s="7" t="s">
        <v>31</v>
      </c>
      <c r="D6" s="7" t="s">
        <v>16</v>
      </c>
      <c r="E6" s="7" t="s">
        <v>17</v>
      </c>
      <c r="F6" s="7" t="s">
        <v>18</v>
      </c>
      <c r="G6" s="8" t="s">
        <v>32</v>
      </c>
      <c r="H6" s="8" t="s">
        <v>33</v>
      </c>
      <c r="I6" s="8" t="s">
        <v>33</v>
      </c>
      <c r="J6" s="8">
        <v>0.0</v>
      </c>
      <c r="K6" s="7" t="s">
        <v>20</v>
      </c>
      <c r="L6" s="7" t="s">
        <v>21</v>
      </c>
      <c r="M6" s="7" t="s">
        <v>22</v>
      </c>
    </row>
    <row r="7">
      <c r="B7" s="7" t="s">
        <v>34</v>
      </c>
      <c r="C7" s="7" t="s">
        <v>31</v>
      </c>
      <c r="D7" s="7" t="s">
        <v>16</v>
      </c>
      <c r="E7" s="7" t="s">
        <v>17</v>
      </c>
      <c r="F7" s="7" t="s">
        <v>18</v>
      </c>
      <c r="G7" s="8" t="s">
        <v>35</v>
      </c>
      <c r="H7" s="8" t="s">
        <v>33</v>
      </c>
      <c r="I7" s="8" t="s">
        <v>33</v>
      </c>
      <c r="J7" s="8">
        <v>0.0</v>
      </c>
      <c r="K7" s="7" t="s">
        <v>20</v>
      </c>
      <c r="L7" s="7" t="s">
        <v>21</v>
      </c>
      <c r="M7" s="7" t="s">
        <v>22</v>
      </c>
    </row>
    <row r="8">
      <c r="B8" s="7" t="s">
        <v>36</v>
      </c>
      <c r="C8" s="7" t="s">
        <v>31</v>
      </c>
      <c r="D8" s="7" t="s">
        <v>16</v>
      </c>
      <c r="E8" s="7" t="s">
        <v>17</v>
      </c>
      <c r="F8" s="7" t="s">
        <v>18</v>
      </c>
      <c r="G8" s="8" t="s">
        <v>37</v>
      </c>
      <c r="H8" s="8" t="s">
        <v>33</v>
      </c>
      <c r="I8" s="8" t="s">
        <v>33</v>
      </c>
      <c r="J8" s="8">
        <v>0.0</v>
      </c>
      <c r="K8" s="7" t="s">
        <v>20</v>
      </c>
      <c r="L8" s="7" t="s">
        <v>21</v>
      </c>
      <c r="M8" s="7" t="s">
        <v>22</v>
      </c>
    </row>
    <row r="9">
      <c r="A9" s="6" t="s">
        <v>38</v>
      </c>
      <c r="B9" s="7" t="s">
        <v>39</v>
      </c>
      <c r="C9" s="7" t="s">
        <v>15</v>
      </c>
      <c r="D9" s="7" t="s">
        <v>40</v>
      </c>
      <c r="E9" s="7" t="s">
        <v>41</v>
      </c>
      <c r="F9" s="10" t="s">
        <v>42</v>
      </c>
      <c r="G9" s="8" t="s">
        <v>43</v>
      </c>
      <c r="H9" s="8">
        <v>4.3318540406E10</v>
      </c>
      <c r="I9" s="8">
        <v>4.3318540406E10</v>
      </c>
      <c r="J9" s="9">
        <f t="shared" ref="J9:J12" si="2">H9-I9</f>
        <v>0</v>
      </c>
      <c r="K9" s="7" t="s">
        <v>20</v>
      </c>
      <c r="M9" s="7" t="s">
        <v>44</v>
      </c>
    </row>
    <row r="10">
      <c r="B10" s="7" t="s">
        <v>45</v>
      </c>
      <c r="C10" s="7" t="s">
        <v>15</v>
      </c>
      <c r="D10" s="7" t="s">
        <v>46</v>
      </c>
      <c r="E10" s="7" t="s">
        <v>41</v>
      </c>
      <c r="F10" s="10" t="s">
        <v>42</v>
      </c>
      <c r="G10" s="8" t="s">
        <v>47</v>
      </c>
      <c r="H10" s="8">
        <v>2.3656182038E10</v>
      </c>
      <c r="I10" s="8">
        <v>2.3656182038E10</v>
      </c>
      <c r="J10" s="9">
        <f t="shared" si="2"/>
        <v>0</v>
      </c>
      <c r="K10" s="7" t="s">
        <v>20</v>
      </c>
      <c r="M10" s="7" t="s">
        <v>44</v>
      </c>
    </row>
    <row r="11">
      <c r="B11" s="7" t="s">
        <v>48</v>
      </c>
      <c r="C11" s="7" t="s">
        <v>15</v>
      </c>
      <c r="D11" s="7" t="s">
        <v>49</v>
      </c>
      <c r="E11" s="7" t="s">
        <v>41</v>
      </c>
      <c r="F11" s="10" t="s">
        <v>42</v>
      </c>
      <c r="G11" s="8" t="s">
        <v>50</v>
      </c>
      <c r="H11" s="8">
        <v>2.3270107427E10</v>
      </c>
      <c r="I11" s="8">
        <v>2.3270107427E10</v>
      </c>
      <c r="J11" s="9">
        <f t="shared" si="2"/>
        <v>0</v>
      </c>
      <c r="K11" s="7" t="s">
        <v>20</v>
      </c>
      <c r="M11" s="7" t="s">
        <v>44</v>
      </c>
    </row>
    <row r="12">
      <c r="B12" s="7" t="s">
        <v>51</v>
      </c>
      <c r="C12" s="7" t="s">
        <v>15</v>
      </c>
      <c r="D12" s="7" t="s">
        <v>52</v>
      </c>
      <c r="E12" s="7" t="s">
        <v>41</v>
      </c>
      <c r="F12" s="10" t="s">
        <v>42</v>
      </c>
      <c r="G12" s="8" t="s">
        <v>53</v>
      </c>
      <c r="H12" s="8">
        <v>4.3580262377E10</v>
      </c>
      <c r="I12" s="8">
        <v>4.3580262377E10</v>
      </c>
      <c r="J12" s="9">
        <f t="shared" si="2"/>
        <v>0</v>
      </c>
      <c r="K12" s="7" t="s">
        <v>20</v>
      </c>
      <c r="M12" s="7" t="s">
        <v>44</v>
      </c>
    </row>
  </sheetData>
  <mergeCells count="2">
    <mergeCell ref="A2:A8"/>
    <mergeCell ref="A9:A12"/>
  </mergeCells>
  <drawing r:id="rId1"/>
</worksheet>
</file>